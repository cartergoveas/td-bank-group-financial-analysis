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hidePivotFieldList="1" defaultThemeVersion="166925"/>
  <xr:revisionPtr revIDLastSave="0" documentId="8_{04330A39-480A-44B5-B498-C55BD934A32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shboard" sheetId="6" r:id="rId1"/>
    <sheet name="Raw Data" sheetId="1" r:id="rId2"/>
    <sheet name="Ratios" sheetId="3" r:id="rId3"/>
    <sheet name="Forecast" sheetId="4" r:id="rId4"/>
    <sheet name="Sources &amp; Note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4" l="1"/>
  <c r="D16" i="4"/>
  <c r="E16" i="4" s="1"/>
  <c r="F16" i="4" s="1"/>
  <c r="D15" i="4"/>
  <c r="E15" i="4" s="1"/>
  <c r="F15" i="4" s="1"/>
  <c r="D14" i="4"/>
  <c r="E14" i="4" s="1"/>
  <c r="F14" i="4" s="1"/>
  <c r="Z19" i="6"/>
  <c r="Z18" i="6"/>
  <c r="Z17" i="6"/>
  <c r="Z16" i="6"/>
  <c r="Z15" i="6"/>
  <c r="AF7" i="6"/>
  <c r="AF6" i="6"/>
  <c r="AF5" i="6"/>
  <c r="AF4" i="6"/>
  <c r="AF3" i="6"/>
  <c r="AE7" i="6"/>
  <c r="AE6" i="6"/>
  <c r="AE5" i="6"/>
  <c r="AE4" i="6"/>
  <c r="AE3" i="6"/>
  <c r="AA7" i="6"/>
  <c r="Z7" i="6"/>
  <c r="Z6" i="6"/>
  <c r="Z5" i="6"/>
  <c r="Z4" i="6"/>
  <c r="Z3" i="6"/>
  <c r="B5" i="6"/>
  <c r="A5" i="6"/>
  <c r="D5" i="6"/>
  <c r="C5" i="6"/>
  <c r="B28" i="4"/>
  <c r="B25" i="4"/>
  <c r="C25" i="4" s="1"/>
  <c r="D25" i="4" s="1"/>
  <c r="E25" i="4" s="1"/>
  <c r="B24" i="4"/>
  <c r="B22" i="4"/>
  <c r="C22" i="4" s="1"/>
  <c r="D22" i="4" s="1"/>
  <c r="E22" i="4" s="1"/>
  <c r="B21" i="4"/>
  <c r="B5" i="4"/>
  <c r="B30" i="3"/>
  <c r="C30" i="3"/>
  <c r="D30" i="3"/>
  <c r="E30" i="3"/>
  <c r="F30" i="3"/>
  <c r="C28" i="3"/>
  <c r="D28" i="3"/>
  <c r="E28" i="3"/>
  <c r="F28" i="3"/>
  <c r="B28" i="3"/>
  <c r="G28" i="3" s="1"/>
  <c r="C27" i="3"/>
  <c r="D27" i="3"/>
  <c r="E27" i="3"/>
  <c r="F27" i="3"/>
  <c r="B27" i="3"/>
  <c r="G27" i="3" s="1"/>
  <c r="C26" i="3"/>
  <c r="D26" i="3"/>
  <c r="E26" i="3"/>
  <c r="F26" i="3"/>
  <c r="B26" i="3"/>
  <c r="G26" i="3" s="1"/>
  <c r="C22" i="3"/>
  <c r="AI4" i="6" s="1"/>
  <c r="D22" i="3"/>
  <c r="AI5" i="6" s="1"/>
  <c r="E22" i="3"/>
  <c r="B22" i="3"/>
  <c r="AI3" i="6" s="1"/>
  <c r="C21" i="3"/>
  <c r="D21" i="3"/>
  <c r="E21" i="3"/>
  <c r="B21" i="3"/>
  <c r="D20" i="3"/>
  <c r="C20" i="3"/>
  <c r="E20" i="3"/>
  <c r="B20" i="3"/>
  <c r="C16" i="3"/>
  <c r="D16" i="3"/>
  <c r="E16" i="3"/>
  <c r="B16" i="3"/>
  <c r="D15" i="3"/>
  <c r="E15" i="3"/>
  <c r="C15" i="3"/>
  <c r="B15" i="3"/>
  <c r="C14" i="3"/>
  <c r="D14" i="3"/>
  <c r="E14" i="3"/>
  <c r="B14" i="3"/>
  <c r="F10" i="3"/>
  <c r="F9" i="3"/>
  <c r="F8" i="3"/>
  <c r="F7" i="3"/>
  <c r="F6" i="3"/>
  <c r="F5" i="3"/>
  <c r="F4" i="3"/>
  <c r="C10" i="3"/>
  <c r="D10" i="3"/>
  <c r="E10" i="3"/>
  <c r="C9" i="3"/>
  <c r="D9" i="3"/>
  <c r="E9" i="3"/>
  <c r="C8" i="3"/>
  <c r="D8" i="3"/>
  <c r="E8" i="3"/>
  <c r="C7" i="3"/>
  <c r="D7" i="3"/>
  <c r="E7" i="3"/>
  <c r="C6" i="3"/>
  <c r="D6" i="3"/>
  <c r="E6" i="3"/>
  <c r="B10" i="3"/>
  <c r="B9" i="3"/>
  <c r="B8" i="3"/>
  <c r="B7" i="3"/>
  <c r="B6" i="3"/>
  <c r="C5" i="3"/>
  <c r="D5" i="3"/>
  <c r="E5" i="3"/>
  <c r="B5" i="3"/>
  <c r="C4" i="3"/>
  <c r="D4" i="3"/>
  <c r="E4" i="3"/>
  <c r="B4" i="3"/>
  <c r="C20" i="4" l="1"/>
  <c r="AI6" i="6"/>
  <c r="E5" i="6"/>
  <c r="B29" i="3"/>
  <c r="F29" i="3"/>
  <c r="E29" i="3"/>
  <c r="D29" i="3"/>
  <c r="C29" i="3"/>
  <c r="G30" i="3"/>
  <c r="AA8" i="6"/>
  <c r="D20" i="4"/>
  <c r="C21" i="4"/>
  <c r="D21" i="4" l="1"/>
  <c r="C23" i="4"/>
  <c r="C24" i="4" s="1"/>
  <c r="C26" i="4" s="1"/>
  <c r="AA9" i="6"/>
  <c r="E20" i="4"/>
  <c r="G29" i="3"/>
  <c r="AA10" i="6" l="1"/>
  <c r="C27" i="4"/>
  <c r="C28" i="4" s="1"/>
  <c r="E21" i="4"/>
  <c r="E23" i="4" s="1"/>
  <c r="E24" i="4" s="1"/>
  <c r="E26" i="4" s="1"/>
  <c r="D23" i="4"/>
  <c r="D24" i="4" s="1"/>
  <c r="D26" i="4" s="1"/>
  <c r="D27" i="4" l="1"/>
  <c r="D28" i="4" s="1"/>
  <c r="E27" i="4"/>
  <c r="E28" i="4" s="1"/>
</calcChain>
</file>

<file path=xl/sharedStrings.xml><?xml version="1.0" encoding="utf-8"?>
<sst xmlns="http://schemas.openxmlformats.org/spreadsheetml/2006/main" count="166" uniqueCount="126">
  <si>
    <t>TD BANK GROUP FINANCIAL ANALYSIS</t>
  </si>
  <si>
    <t>Made by: Carter Goveas</t>
  </si>
  <si>
    <t>TD REVENUE: HISTORICAL VS FORECAST CHART</t>
  </si>
  <si>
    <t>TD REPORTED VS ADJUSTED ROE CHART</t>
  </si>
  <si>
    <t>TD CREDIT RISK: PCL/AVERAGE LOANS CHART</t>
  </si>
  <si>
    <t>Historical Analysis: 2021-2025 | Forecast: 2026-2028</t>
  </si>
  <si>
    <t>Aug. 26, 2026</t>
  </si>
  <si>
    <t>Year</t>
  </si>
  <si>
    <t>Actual Revenue (CAD billions)</t>
  </si>
  <si>
    <t>Forecast Revenue (CAD billions)</t>
  </si>
  <si>
    <t>Reported ROE</t>
  </si>
  <si>
    <t>Adjusted ROE</t>
  </si>
  <si>
    <t>PCL/Average Loans</t>
  </si>
  <si>
    <t>2025 Revenue (CAD billions)</t>
  </si>
  <si>
    <t>2025 Net Income (CAD billions)</t>
  </si>
  <si>
    <t>2025 Reported ROE</t>
  </si>
  <si>
    <t>2025 CET1 Ratio</t>
  </si>
  <si>
    <t>2025 PCL/Average Loans</t>
  </si>
  <si>
    <t>2026E</t>
  </si>
  <si>
    <t>2027E</t>
  </si>
  <si>
    <t>2028E</t>
  </si>
  <si>
    <t>TD REVENUE GROWTH CHART</t>
  </si>
  <si>
    <t>Revenue (CAD billions)</t>
  </si>
  <si>
    <t>KEY ANALYTICAL TAKEAWAYS</t>
  </si>
  <si>
    <t>1. Revenue Growth</t>
  </si>
  <si>
    <t>- TD's reported revenue increased from $42.7B CAD in 2021 to $67.8B in 2025, representing a 12.3% CAGR.</t>
  </si>
  <si>
    <t>2. Profitability</t>
  </si>
  <si>
    <t>- Reported ROE was volatile over the period, while adjusted ROE declined from 15.9% in 2021 to 12.9% in 2025, showing a more consistent downward trend in underlying profitability.</t>
  </si>
  <si>
    <t>3. Credit Risk</t>
  </si>
  <si>
    <t>- PCL as a percentage of average loans increased from 0.14% in 2022 to 0.47% in 2025, although the increase moderated considerably between 2024 and 2025.</t>
  </si>
  <si>
    <t>4. Forecast</t>
  </si>
  <si>
    <t>- Under the base-case assumptions, revenue is forecast to increase from $67.8B in 2025 to approximately $77.3B by 2028, reflecting progressively moderating annual revenue growth assumptions.</t>
  </si>
  <si>
    <t>5. Valuation</t>
  </si>
  <si>
    <t>- TD's share price increased to $115.16M in 2025 from $89.64M in 2025, while its P/B ratio rose to 1.67 in 2025 from 1.29 in 2024, indicating a higher market valuation relative to book value. Its 2025 P/E ratio of 9.96 remained below its five-year average of 12.18.</t>
  </si>
  <si>
    <t>**Source: TD Bank Group Annual Reports 2021-2025 (See Sources &amp; Notes). Historical figures reflect values reported in the respective fiscal-year reports and may differ from subsequently restated comparative figures</t>
  </si>
  <si>
    <t>*Financial figures in CAD millions, unless otherwise stated</t>
  </si>
  <si>
    <t>INCOME STATEMENT</t>
  </si>
  <si>
    <t>Metric</t>
  </si>
  <si>
    <t>Net Interest Income</t>
  </si>
  <si>
    <t>Non-Interest Income</t>
  </si>
  <si>
    <t>Total Revenue</t>
  </si>
  <si>
    <t>Provision for Credit Losses</t>
  </si>
  <si>
    <t>Non-Interest Expenses</t>
  </si>
  <si>
    <t>Income Before Income Taxes</t>
  </si>
  <si>
    <t>Net Income</t>
  </si>
  <si>
    <t>Net Income Availible to Common Shareholders</t>
  </si>
  <si>
    <t>Basic EPS</t>
  </si>
  <si>
    <t>Diluted EPS</t>
  </si>
  <si>
    <t>Dividends Per Common Share</t>
  </si>
  <si>
    <t>BALANCE SHEET</t>
  </si>
  <si>
    <t>Total Assets</t>
  </si>
  <si>
    <t>Loans, Net of Allowance</t>
  </si>
  <si>
    <t>Total Deposits</t>
  </si>
  <si>
    <t>Total Liabilities</t>
  </si>
  <si>
    <t>Total Equity</t>
  </si>
  <si>
    <t>Common Shares Outstanding</t>
  </si>
  <si>
    <t>BANKING KPIs</t>
  </si>
  <si>
    <t>CET1 Ratio</t>
  </si>
  <si>
    <t>Efficiency Ratio</t>
  </si>
  <si>
    <t>Adjusted Efficiency Ratio</t>
  </si>
  <si>
    <t>Book Value Per Share</t>
  </si>
  <si>
    <t>Closing Share Price (TSX)</t>
  </si>
  <si>
    <t>GROWTH ANALYSIS</t>
  </si>
  <si>
    <t>2021-2025 CAGR</t>
  </si>
  <si>
    <t>Revenue Growth</t>
  </si>
  <si>
    <t>Net Income Growth</t>
  </si>
  <si>
    <t>Diluted EPS Growth</t>
  </si>
  <si>
    <t>Loan Growth</t>
  </si>
  <si>
    <t>Deposit Growth</t>
  </si>
  <si>
    <t>Asset Growth</t>
  </si>
  <si>
    <t>Dividend Growth</t>
  </si>
  <si>
    <t>PROFITABILITY ANALYSIS</t>
  </si>
  <si>
    <t>Return on Assets (ROA)</t>
  </si>
  <si>
    <t>OPERATING &amp; CREDIT ANALYSIS</t>
  </si>
  <si>
    <t>Reported Efficiency Ratio</t>
  </si>
  <si>
    <t>CAPITAL &amp; VALUATION ANALYSIS</t>
  </si>
  <si>
    <t>5-Year Average</t>
  </si>
  <si>
    <t>Closing Share Price</t>
  </si>
  <si>
    <t>Price-to-Book Ratio</t>
  </si>
  <si>
    <t>P/E Ratio</t>
  </si>
  <si>
    <t>BASE-CASE FORECAST ASSUMPTIONS</t>
  </si>
  <si>
    <t xml:space="preserve">Forecast period: 2026E-2028E | Based on analyst assumptions </t>
  </si>
  <si>
    <t>Expense Growth</t>
  </si>
  <si>
    <t>Tax Rate</t>
  </si>
  <si>
    <t>HYPOTHETICAL SCENARIOS</t>
  </si>
  <si>
    <t>Scenario</t>
  </si>
  <si>
    <t>2025 Revenue</t>
  </si>
  <si>
    <t>2026 Revenue</t>
  </si>
  <si>
    <t>2027 Revenue</t>
  </si>
  <si>
    <t>2028 Revenue</t>
  </si>
  <si>
    <t>Bear</t>
  </si>
  <si>
    <t>Base</t>
  </si>
  <si>
    <t>Bull</t>
  </si>
  <si>
    <t>FINANCIAL FORECAST</t>
  </si>
  <si>
    <t>2025A</t>
  </si>
  <si>
    <t>Loans</t>
  </si>
  <si>
    <t>Deposits</t>
  </si>
  <si>
    <t>Average Loans</t>
  </si>
  <si>
    <t>Pre-Tax Income</t>
  </si>
  <si>
    <t>Income Taxes</t>
  </si>
  <si>
    <t>FORECAST METHODOLOGY</t>
  </si>
  <si>
    <t>Total Revenue: Projected using annual growth assumptions of 5% in 2026, 4.5% in 2027, and 4% in 2027.</t>
  </si>
  <si>
    <t>Loans: Projected using annual growth assumptions of 3% in 2026, 3.5% in 2027, and 4% in 2028.</t>
  </si>
  <si>
    <t>Deposits: Projected using annual growth assumptions of 2.5% in 2026, 3% in 2027, and 3% in 2028.</t>
  </si>
  <si>
    <t>Average Loans: Projected by calculating the average loans of the current and previous year.</t>
  </si>
  <si>
    <t>Provision for Credit Losses: Projected using annual growth assumptions (PCL/Average Loans) of 0.45% in 2026, 0.4% in 2027, and 0.38% in 2028.</t>
  </si>
  <si>
    <t>Non-Interest Expenses: Projected using annual growth assumption of 3% from 2026 through 2028.</t>
  </si>
  <si>
    <t>Pre-Tax Income: Projected by subctracting Total Revenue by Provision for Credit Losses by Non-Interest Expenses.</t>
  </si>
  <si>
    <t>Income Taxes: Projected using annual growth assumption of 21% from 2026 through 2028.</t>
  </si>
  <si>
    <t>Net Income: Projected by subtracting Pre-Tax Income by Income Taxes.</t>
  </si>
  <si>
    <t>*Historical financial data was obtained from publicly availible TD Bank Group annual reports. Calculated ratios and forecasts represent the author's calculations and illustrative assumptions.</t>
  </si>
  <si>
    <t>Source</t>
  </si>
  <si>
    <t>Data Used</t>
  </si>
  <si>
    <t>Link to Source</t>
  </si>
  <si>
    <t>TD Bank Group Annual Report 2025</t>
  </si>
  <si>
    <t>Income Statement, Balance Sheet, Banking KPIs in 'Raw Data' sheet</t>
  </si>
  <si>
    <t>https://www.td.com/content/dam/tdcom/canada/about-td/pdf/quarterly-results/2025/q4/2025-annual-report-en.pdf</t>
  </si>
  <si>
    <t>TD Bank Group Annual Report 2024</t>
  </si>
  <si>
    <t>https://www.td.com/content/dam/tdcom/canada/about-td/pdf/quarterly-results/2024/q4/2024-annual-report-en.pdf</t>
  </si>
  <si>
    <t>TD Bank Group Annual Report 2023</t>
  </si>
  <si>
    <t>https://www.td.com/content/dam/tdcom/canada/about-td/pdf/quarterly-results/2023/2023-annual-report-e.pdf</t>
  </si>
  <si>
    <t>TD Bank Group Annual Report 2022</t>
  </si>
  <si>
    <t>https://www.td.com/content/dam/tdcom/canada/about-td/for-investors/investor-relations/ar2022-Complete-Report.pdf</t>
  </si>
  <si>
    <t>TD Bank Group Annual Report 2021</t>
  </si>
  <si>
    <t>https://www.td.com/content/dam/tdcom/canada/about-td/pdf/annual-meetings/2022/ar2021-Complete-Report.pdf</t>
  </si>
  <si>
    <t>Methodology Note: This was my first time using excel and building a financial analysis. For full transparency, ChatGPT was used as an assistive tool in the development of this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</si>
</sst>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&quot;$&quot;#,##0.0"/>
    <numFmt numFmtId="165" formatCode="[$$-1009]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5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0" fontId="4" fillId="0" borderId="0" xfId="0" applyFont="1"/>
    <xf numFmtId="0" fontId="6" fillId="0" borderId="0" xfId="0" applyFont="1"/>
    <xf numFmtId="0" fontId="7" fillId="0" borderId="0" xfId="0" applyFont="1"/>
    <xf numFmtId="3" fontId="0" fillId="0" borderId="0" xfId="0" applyNumberFormat="1"/>
    <xf numFmtId="43" fontId="0" fillId="0" borderId="0" xfId="0" applyNumberFormat="1"/>
    <xf numFmtId="41" fontId="0" fillId="0" borderId="0" xfId="0" applyNumberFormat="1"/>
    <xf numFmtId="0" fontId="9" fillId="0" borderId="0" xfId="0" applyFont="1"/>
    <xf numFmtId="9" fontId="11" fillId="0" borderId="0" xfId="0" applyNumberFormat="1" applyFont="1"/>
    <xf numFmtId="10" fontId="11" fillId="0" borderId="0" xfId="0" applyNumberFormat="1" applyFont="1"/>
    <xf numFmtId="0" fontId="0" fillId="0" borderId="0" xfId="0" quotePrefix="1"/>
    <xf numFmtId="0" fontId="8" fillId="0" borderId="0" xfId="0" quotePrefix="1" applyFont="1"/>
    <xf numFmtId="0" fontId="5" fillId="0" borderId="0" xfId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TD Revenue Growth (2021-2025)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42.692999999999998</c:v>
              </c:pt>
              <c:pt idx="1">
                <c:v>49.031999999999996</c:v>
              </c:pt>
              <c:pt idx="2">
                <c:v>50.491999999999997</c:v>
              </c:pt>
              <c:pt idx="3">
                <c:v>57.222999999999999</c:v>
              </c:pt>
              <c:pt idx="4">
                <c:v>67.777000000000001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4A5-4C25-8E82-E50A42622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703239"/>
        <c:axId val="1164705287"/>
      </c:lineChart>
      <c:catAx>
        <c:axId val="1164703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05287"/>
        <c:crosses val="autoZero"/>
        <c:auto val="1"/>
        <c:lblAlgn val="ctr"/>
        <c:lblOffset val="100"/>
        <c:noMultiLvlLbl val="0"/>
      </c:catAx>
      <c:valAx>
        <c:axId val="116470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(CAD billions)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03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 Revenue: Historical vs.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Dashboard!Z2</c:f>
              <c:strCache>
                <c:ptCount val="1"/>
                <c:pt idx="0">
                  <c:v>Actual Revenue (CAD billions)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Dashboard!$Y$3:$Y$10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</c:strCache>
            </c:strRef>
          </c:cat>
          <c:val>
            <c:numRef>
              <c:f>Dashboard!$Z$3:$Z$10</c:f>
              <c:numCache>
                <c:formatCode>"$"#,##0.0</c:formatCode>
                <c:ptCount val="8"/>
                <c:pt idx="0">
                  <c:v>42.692999999999998</c:v>
                </c:pt>
                <c:pt idx="1">
                  <c:v>49.031999999999996</c:v>
                </c:pt>
                <c:pt idx="2">
                  <c:v>50.491999999999997</c:v>
                </c:pt>
                <c:pt idx="3">
                  <c:v>57.222999999999999</c:v>
                </c:pt>
                <c:pt idx="4">
                  <c:v>67.777000000000001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87A04F5-4723-4441-ADC0-8932E5C94A84}"/>
            </c:ext>
          </c:extLst>
        </c:ser>
        <c:ser>
          <c:idx val="1"/>
          <c:order val="1"/>
          <c:tx>
            <c:strRef>
              <c:f>Dashboard!AA2</c:f>
              <c:strCache>
                <c:ptCount val="1"/>
                <c:pt idx="0">
                  <c:v>Forecast Revenue (CAD billions)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Dashboard!$Y$3:$Y$10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</c:strCache>
            </c:strRef>
          </c:cat>
          <c:val>
            <c:numRef>
              <c:f>Dashboard!$AA$3:$AA$10</c:f>
              <c:numCache>
                <c:formatCode>General</c:formatCode>
                <c:ptCount val="8"/>
                <c:pt idx="4" formatCode="&quot;$&quot;#,##0.0">
                  <c:v>67.777000000000001</c:v>
                </c:pt>
                <c:pt idx="5" formatCode="&quot;$&quot;#,##0.0">
                  <c:v>71.165850000000006</c:v>
                </c:pt>
                <c:pt idx="6" formatCode="&quot;$&quot;#,##0.0">
                  <c:v>74.36831325</c:v>
                </c:pt>
                <c:pt idx="7" formatCode="&quot;$&quot;#,##0.0">
                  <c:v>77.343045780000011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3C225981-B508-43D3-9B25-238A85E2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15271"/>
        <c:axId val="52249607"/>
      </c:lineChart>
      <c:catAx>
        <c:axId val="125515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9607"/>
        <c:crosses val="autoZero"/>
        <c:auto val="1"/>
        <c:lblAlgn val="ctr"/>
        <c:lblOffset val="100"/>
        <c:noMultiLvlLbl val="0"/>
      </c:catAx>
      <c:valAx>
        <c:axId val="5224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15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 Reported vs. Adjusted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Dashboard!AE2</c:f>
              <c:strCache>
                <c:ptCount val="1"/>
                <c:pt idx="0">
                  <c:v>Reported ROE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Dashboard!$AD$3:$AD$7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Dashboard!$AE$3:$AE$7</c:f>
              <c:numCache>
                <c:formatCode>0%</c:formatCode>
                <c:ptCount val="5"/>
                <c:pt idx="0" formatCode="0.00%">
                  <c:v>0.155</c:v>
                </c:pt>
                <c:pt idx="1">
                  <c:v>0.18</c:v>
                </c:pt>
                <c:pt idx="2" formatCode="0.00%">
                  <c:v>0.10100000000000001</c:v>
                </c:pt>
                <c:pt idx="3" formatCode="0.00%">
                  <c:v>8.2000000000000003E-2</c:v>
                </c:pt>
                <c:pt idx="4" formatCode="0.00%">
                  <c:v>0.17799999999999999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0175075-8047-4C11-A029-FB9B87489B0B}"/>
            </c:ext>
          </c:extLst>
        </c:ser>
        <c:ser>
          <c:idx val="1"/>
          <c:order val="1"/>
          <c:tx>
            <c:strRef>
              <c:f>Dashboard!AF2</c:f>
              <c:strCache>
                <c:ptCount val="1"/>
                <c:pt idx="0">
                  <c:v>Adjusted 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Dashboard!$AD$3:$AD$7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Dashboard!$AF$3:$AF$7</c:f>
              <c:numCache>
                <c:formatCode>0.00%</c:formatCode>
                <c:ptCount val="5"/>
                <c:pt idx="0">
                  <c:v>0.159</c:v>
                </c:pt>
                <c:pt idx="1">
                  <c:v>0.159</c:v>
                </c:pt>
                <c:pt idx="2">
                  <c:v>0.14399999999999999</c:v>
                </c:pt>
                <c:pt idx="3">
                  <c:v>0.13600000000000001</c:v>
                </c:pt>
                <c:pt idx="4">
                  <c:v>0.129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2EB0A009-22A8-432B-8692-D1840B569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01639"/>
        <c:axId val="87356935"/>
      </c:lineChart>
      <c:catAx>
        <c:axId val="87301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6935"/>
        <c:crosses val="autoZero"/>
        <c:auto val="1"/>
        <c:lblAlgn val="ctr"/>
        <c:lblOffset val="100"/>
        <c:noMultiLvlLbl val="0"/>
      </c:catAx>
      <c:valAx>
        <c:axId val="8735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1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 Credit Risk: PCL/Average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Dashboard!AI2</c:f>
              <c:strCache>
                <c:ptCount val="1"/>
                <c:pt idx="0">
                  <c:v>PCL/Average 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Dashboard!$AH$3:$AH$6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Dashboard!$AI$3:$AI$6</c:f>
              <c:numCache>
                <c:formatCode>0.00%</c:formatCode>
                <c:ptCount val="4"/>
                <c:pt idx="0">
                  <c:v>1.3735264680610041E-3</c:v>
                </c:pt>
                <c:pt idx="1">
                  <c:v>3.3966612429718757E-3</c:v>
                </c:pt>
                <c:pt idx="2">
                  <c:v>4.6090590280336557E-3</c:v>
                </c:pt>
                <c:pt idx="3">
                  <c:v>4.7367732230398918E-3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B8B036D-43A6-4625-B09B-3C7CB30C6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608647"/>
        <c:axId val="9230343"/>
      </c:barChart>
      <c:catAx>
        <c:axId val="2608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343"/>
        <c:crosses val="autoZero"/>
        <c:auto val="1"/>
        <c:lblAlgn val="ctr"/>
        <c:lblOffset val="100"/>
        <c:noMultiLvlLbl val="0"/>
      </c:catAx>
      <c:valAx>
        <c:axId val="9230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PCL/Average Loans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57150</xdr:rowOff>
    </xdr:from>
    <xdr:to>
      <xdr:col>2</xdr:col>
      <xdr:colOff>1114425</xdr:colOff>
      <xdr:row>20</xdr:row>
      <xdr:rowOff>133350</xdr:rowOff>
    </xdr:to>
    <xdr:graphicFrame macro="">
      <xdr:nvGraphicFramePr>
        <xdr:cNvPr id="5" name="Chart 4" descr="Chart type: Line. Revenue (CAD billions) increases over time.&#10;&#10;Description automatically generated">
          <a:extLst>
            <a:ext uri="{FF2B5EF4-FFF2-40B4-BE49-F238E27FC236}">
              <a16:creationId xmlns:a16="http://schemas.microsoft.com/office/drawing/2014/main" id="{EDFC6587-B319-41AD-B7B3-37FA6D3C9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21</xdr:row>
      <xdr:rowOff>47625</xdr:rowOff>
    </xdr:from>
    <xdr:to>
      <xdr:col>2</xdr:col>
      <xdr:colOff>1133475</xdr:colOff>
      <xdr:row>35</xdr:row>
      <xdr:rowOff>123825</xdr:rowOff>
    </xdr:to>
    <xdr:graphicFrame macro="">
      <xdr:nvGraphicFramePr>
        <xdr:cNvPr id="2" name="Chart 1" descr="Chart type: Line. 'Actual Revenue (CAD billions)', 'Forecast Revenue (CAD billions)' by 'Year'&#10;&#10;Description automatically generated">
          <a:extLst>
            <a:ext uri="{FF2B5EF4-FFF2-40B4-BE49-F238E27FC236}">
              <a16:creationId xmlns:a16="http://schemas.microsoft.com/office/drawing/2014/main" id="{F20A6521-2873-5C46-A5BB-3C6337424325}"/>
            </a:ext>
            <a:ext uri="{147F2762-F138-4A5C-976F-8EAC2B608ADB}">
              <a16:predDERef xmlns:a16="http://schemas.microsoft.com/office/drawing/2014/main" pred="{EDFC6587-B319-41AD-B7B3-37FA6D3C9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1209675</xdr:colOff>
      <xdr:row>6</xdr:row>
      <xdr:rowOff>57150</xdr:rowOff>
    </xdr:from>
    <xdr:to>
      <xdr:col>8</xdr:col>
      <xdr:colOff>190500</xdr:colOff>
      <xdr:row>20</xdr:row>
      <xdr:rowOff>133350</xdr:rowOff>
    </xdr:to>
    <xdr:graphicFrame macro="">
      <xdr:nvGraphicFramePr>
        <xdr:cNvPr id="3" name="Chart 2" descr="Chart type: Line. 'Reported ROE', 'Adjusted ROE' by 'Year'&#10;&#10;Description automatically generated">
          <a:extLst>
            <a:ext uri="{FF2B5EF4-FFF2-40B4-BE49-F238E27FC236}">
              <a16:creationId xmlns:a16="http://schemas.microsoft.com/office/drawing/2014/main" id="{DE1B9488-33FD-F1B2-9360-3610B89F348A}"/>
            </a:ext>
            <a:ext uri="{147F2762-F138-4A5C-976F-8EAC2B608ADB}">
              <a16:predDERef xmlns:a16="http://schemas.microsoft.com/office/drawing/2014/main" pred="{F20A6521-2873-5C46-A5BB-3C6337424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1209675</xdr:colOff>
      <xdr:row>21</xdr:row>
      <xdr:rowOff>57150</xdr:rowOff>
    </xdr:from>
    <xdr:to>
      <xdr:col>8</xdr:col>
      <xdr:colOff>190500</xdr:colOff>
      <xdr:row>35</xdr:row>
      <xdr:rowOff>133350</xdr:rowOff>
    </xdr:to>
    <xdr:graphicFrame macro="">
      <xdr:nvGraphicFramePr>
        <xdr:cNvPr id="6" name="Chart 5" descr="Chart type: Clustered Column. 'PCL/Average Loans'&#10;&#10;Description automatically generated">
          <a:extLst>
            <a:ext uri="{FF2B5EF4-FFF2-40B4-BE49-F238E27FC236}">
              <a16:creationId xmlns:a16="http://schemas.microsoft.com/office/drawing/2014/main" id="{65391863-EF41-CED9-65B9-4D75C1FE17C9}"/>
            </a:ext>
            <a:ext uri="{147F2762-F138-4A5C-976F-8EAC2B608ADB}">
              <a16:predDERef xmlns:a16="http://schemas.microsoft.com/office/drawing/2014/main" pred="{DE1B9488-33FD-F1B2-9360-3610B89F3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d.com/content/dam/tdcom/canada/about-td/pdf/quarterly-results/2024/q4/2024-annual-report-en.pdf" TargetMode="External"/><Relationship Id="rId2" Type="http://schemas.openxmlformats.org/officeDocument/2006/relationships/hyperlink" Target="https://www.td.com/content/dam/tdcom/canada/about-td/pdf/quarterly-results/2025/q4/2025-annual-report-en.pdf" TargetMode="External"/><Relationship Id="rId1" Type="http://schemas.openxmlformats.org/officeDocument/2006/relationships/hyperlink" Target="https://www.td.com/content/dam/tdcom/canada/about-td/pdf/annual-meetings/2022/ar2021-Complete-Report.pdf" TargetMode="External"/><Relationship Id="rId5" Type="http://schemas.openxmlformats.org/officeDocument/2006/relationships/hyperlink" Target="https://www.td.com/content/dam/tdcom/canada/about-td/pdf/quarterly-results/2023/2023-annual-report-e.pdf" TargetMode="External"/><Relationship Id="rId4" Type="http://schemas.openxmlformats.org/officeDocument/2006/relationships/hyperlink" Target="https://www.td.com/content/dam/tdcom/canada/about-td/for-investors/investor-relations/ar2022-Complete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A407-C428-48DE-907E-611E5C3A751B}">
  <dimension ref="A1:AI52"/>
  <sheetViews>
    <sheetView showGridLines="0" tabSelected="1" workbookViewId="0">
      <selection activeCell="I6" sqref="I6"/>
    </sheetView>
  </sheetViews>
  <sheetFormatPr defaultRowHeight="15"/>
  <cols>
    <col min="1" max="1" width="30.7109375" customWidth="1"/>
    <col min="2" max="2" width="33.140625" customWidth="1"/>
    <col min="3" max="3" width="22.28515625" customWidth="1"/>
    <col min="4" max="4" width="18.42578125" customWidth="1"/>
    <col min="5" max="5" width="24.85546875" customWidth="1"/>
    <col min="9" max="9" width="20.140625" customWidth="1"/>
    <col min="10" max="10" width="10.140625" bestFit="1" customWidth="1"/>
    <col min="14" max="14" width="25.85546875" customWidth="1"/>
    <col min="15" max="15" width="27.5703125" customWidth="1"/>
    <col min="19" max="19" width="12.85546875" customWidth="1"/>
    <col min="20" max="20" width="10.28515625" customWidth="1"/>
    <col min="23" max="23" width="6.42578125" customWidth="1"/>
    <col min="24" max="24" width="2.5703125" customWidth="1"/>
    <col min="25" max="25" width="42.5703125" customWidth="1"/>
    <col min="29" max="29" width="16.140625" customWidth="1"/>
    <col min="32" max="32" width="26.5703125" customWidth="1"/>
    <col min="38" max="38" width="12.42578125" customWidth="1"/>
  </cols>
  <sheetData>
    <row r="1" spans="1:35" ht="26.25">
      <c r="A1" s="11" t="s">
        <v>0</v>
      </c>
      <c r="J1" t="s">
        <v>1</v>
      </c>
      <c r="Y1" s="23" t="s">
        <v>2</v>
      </c>
      <c r="Z1" s="23"/>
      <c r="AA1" s="23"/>
      <c r="AD1" s="23" t="s">
        <v>3</v>
      </c>
      <c r="AE1" s="23"/>
      <c r="AF1" s="23"/>
      <c r="AH1" s="3" t="s">
        <v>4</v>
      </c>
      <c r="AI1" s="3"/>
    </row>
    <row r="2" spans="1:35">
      <c r="A2" t="s">
        <v>5</v>
      </c>
      <c r="J2" s="27" t="s">
        <v>6</v>
      </c>
      <c r="Y2" t="s">
        <v>7</v>
      </c>
      <c r="Z2" t="s">
        <v>8</v>
      </c>
      <c r="AA2" t="s">
        <v>9</v>
      </c>
      <c r="AD2" t="s">
        <v>7</v>
      </c>
      <c r="AE2" t="s">
        <v>10</v>
      </c>
      <c r="AF2" t="s">
        <v>11</v>
      </c>
      <c r="AH2" t="s">
        <v>7</v>
      </c>
      <c r="AI2" t="s">
        <v>12</v>
      </c>
    </row>
    <row r="3" spans="1:35">
      <c r="I3" s="5"/>
      <c r="Y3">
        <v>2021</v>
      </c>
      <c r="Z3" s="5">
        <f>'Raw Data'!B7/1000</f>
        <v>42.692999999999998</v>
      </c>
      <c r="AD3">
        <v>2021</v>
      </c>
      <c r="AE3" s="1">
        <f>'Raw Data'!B28</f>
        <v>0.155</v>
      </c>
      <c r="AF3" s="1">
        <f>'Raw Data'!B29</f>
        <v>0.159</v>
      </c>
      <c r="AH3">
        <v>2022</v>
      </c>
      <c r="AI3" s="1">
        <f>Ratios!B22</f>
        <v>1.3735264680610041E-3</v>
      </c>
    </row>
    <row r="4" spans="1:3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I4" s="5"/>
      <c r="Y4">
        <v>2022</v>
      </c>
      <c r="Z4" s="5">
        <f>'Raw Data'!C7/1000</f>
        <v>49.031999999999996</v>
      </c>
      <c r="AD4">
        <v>2022</v>
      </c>
      <c r="AE4" s="2">
        <f>'Raw Data'!C28</f>
        <v>0.18</v>
      </c>
      <c r="AF4" s="1">
        <f>'Raw Data'!C29</f>
        <v>0.159</v>
      </c>
      <c r="AH4">
        <v>2023</v>
      </c>
      <c r="AI4" s="1">
        <f>Ratios!C22</f>
        <v>3.3966612429718757E-3</v>
      </c>
    </row>
    <row r="5" spans="1:35" ht="18.75">
      <c r="A5" s="8">
        <f>'Raw Data'!F7/1000</f>
        <v>67.777000000000001</v>
      </c>
      <c r="B5" s="9">
        <f>'Raw Data'!F11/1000</f>
        <v>20.538</v>
      </c>
      <c r="C5" s="10">
        <f>'Raw Data'!F28</f>
        <v>0.17799999999999999</v>
      </c>
      <c r="D5" s="10">
        <f>'Raw Data'!F30</f>
        <v>0.14699999999999999</v>
      </c>
      <c r="E5" s="10">
        <f>Ratios!E22</f>
        <v>4.7367732230398918E-3</v>
      </c>
      <c r="I5" s="5"/>
      <c r="Y5">
        <v>2023</v>
      </c>
      <c r="Z5" s="5">
        <f>'Raw Data'!D7/1000</f>
        <v>50.491999999999997</v>
      </c>
      <c r="AD5">
        <v>2023</v>
      </c>
      <c r="AE5" s="1">
        <f>'Raw Data'!D28</f>
        <v>0.10100000000000001</v>
      </c>
      <c r="AF5" s="1">
        <f>'Raw Data'!D29</f>
        <v>0.14399999999999999</v>
      </c>
      <c r="AH5">
        <v>2024</v>
      </c>
      <c r="AI5" s="1">
        <f>Ratios!D22</f>
        <v>4.6090590280336557E-3</v>
      </c>
    </row>
    <row r="6" spans="1:35">
      <c r="I6" s="5"/>
      <c r="Y6">
        <v>2024</v>
      </c>
      <c r="Z6" s="5">
        <f>'Raw Data'!E7/1000</f>
        <v>57.222999999999999</v>
      </c>
      <c r="AD6">
        <v>2024</v>
      </c>
      <c r="AE6" s="1">
        <f>'Raw Data'!E28</f>
        <v>8.2000000000000003E-2</v>
      </c>
      <c r="AF6" s="1">
        <f>'Raw Data'!E29</f>
        <v>0.13600000000000001</v>
      </c>
      <c r="AH6">
        <v>2025</v>
      </c>
      <c r="AI6" s="1">
        <f>Ratios!E22</f>
        <v>4.7367732230398918E-3</v>
      </c>
    </row>
    <row r="7" spans="1:35">
      <c r="I7" s="5"/>
      <c r="Y7">
        <v>2025</v>
      </c>
      <c r="Z7" s="5">
        <f>'Raw Data'!F7/1000</f>
        <v>67.777000000000001</v>
      </c>
      <c r="AA7" s="5">
        <f>'Raw Data'!F7/1000</f>
        <v>67.777000000000001</v>
      </c>
      <c r="AD7">
        <v>2025</v>
      </c>
      <c r="AE7" s="1">
        <f>'Raw Data'!F28</f>
        <v>0.17799999999999999</v>
      </c>
      <c r="AF7" s="1">
        <f>'Raw Data'!F29</f>
        <v>0.129</v>
      </c>
    </row>
    <row r="8" spans="1:35">
      <c r="Y8" t="s">
        <v>18</v>
      </c>
      <c r="AA8" s="5">
        <f>Forecast!C20/1000</f>
        <v>71.165850000000006</v>
      </c>
    </row>
    <row r="9" spans="1:35">
      <c r="Y9" t="s">
        <v>19</v>
      </c>
      <c r="AA9" s="5">
        <f>Forecast!D20/1000</f>
        <v>74.36831325</v>
      </c>
    </row>
    <row r="10" spans="1:35">
      <c r="Y10" t="s">
        <v>20</v>
      </c>
      <c r="AA10" s="5">
        <f>Forecast!E20/1000</f>
        <v>77.343045780000011</v>
      </c>
    </row>
    <row r="13" spans="1:35">
      <c r="Y13" s="23" t="s">
        <v>21</v>
      </c>
      <c r="Z13" s="23"/>
    </row>
    <row r="14" spans="1:35">
      <c r="Y14" t="s">
        <v>7</v>
      </c>
      <c r="Z14" t="s">
        <v>22</v>
      </c>
    </row>
    <row r="15" spans="1:35">
      <c r="Y15">
        <v>2021</v>
      </c>
      <c r="Z15" s="5">
        <f>'Raw Data'!B7/1000</f>
        <v>42.692999999999998</v>
      </c>
    </row>
    <row r="16" spans="1:35">
      <c r="Y16">
        <v>2022</v>
      </c>
      <c r="Z16" s="5">
        <f>'Raw Data'!C7/1000</f>
        <v>49.031999999999996</v>
      </c>
    </row>
    <row r="17" spans="11:26">
      <c r="Y17">
        <v>2023</v>
      </c>
      <c r="Z17" s="5">
        <f>'Raw Data'!D7/1000</f>
        <v>50.491999999999997</v>
      </c>
    </row>
    <row r="18" spans="11:26">
      <c r="Y18">
        <v>2024</v>
      </c>
      <c r="Z18" s="5">
        <f>'Raw Data'!E7/1000</f>
        <v>57.222999999999999</v>
      </c>
    </row>
    <row r="19" spans="11:26"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Y19">
        <v>2025</v>
      </c>
      <c r="Z19" s="5">
        <f>'Raw Data'!F7/1000</f>
        <v>67.777000000000001</v>
      </c>
    </row>
    <row r="20" spans="11:26"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1:26"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1:26"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1:26">
      <c r="K23" s="5"/>
    </row>
    <row r="37" spans="1:9">
      <c r="A37" s="7"/>
    </row>
    <row r="38" spans="1:9">
      <c r="A38" s="24" t="s">
        <v>23</v>
      </c>
      <c r="B38" s="25"/>
      <c r="C38" s="25"/>
      <c r="D38" s="25"/>
      <c r="E38" s="25"/>
      <c r="F38" s="25"/>
      <c r="G38" s="25"/>
      <c r="H38" s="25"/>
      <c r="I38" s="6"/>
    </row>
    <row r="39" spans="1:9">
      <c r="A39" s="3" t="s">
        <v>24</v>
      </c>
    </row>
    <row r="40" spans="1:9">
      <c r="A40" t="s">
        <v>25</v>
      </c>
    </row>
    <row r="42" spans="1:9">
      <c r="A42" s="3" t="s">
        <v>26</v>
      </c>
    </row>
    <row r="43" spans="1:9">
      <c r="A43" t="s">
        <v>27</v>
      </c>
    </row>
    <row r="45" spans="1:9">
      <c r="A45" s="3" t="s">
        <v>28</v>
      </c>
    </row>
    <row r="46" spans="1:9">
      <c r="A46" t="s">
        <v>29</v>
      </c>
    </row>
    <row r="48" spans="1:9">
      <c r="A48" s="3" t="s">
        <v>30</v>
      </c>
    </row>
    <row r="49" spans="1:1">
      <c r="A49" t="s">
        <v>31</v>
      </c>
    </row>
    <row r="51" spans="1:1">
      <c r="A51" s="3" t="s">
        <v>32</v>
      </c>
    </row>
    <row r="52" spans="1:1">
      <c r="A52" t="s">
        <v>33</v>
      </c>
    </row>
  </sheetData>
  <mergeCells count="4">
    <mergeCell ref="A38:H38"/>
    <mergeCell ref="Y13:Z13"/>
    <mergeCell ref="Y1:AA1"/>
    <mergeCell ref="AD1:A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C6" sqref="C6"/>
    </sheetView>
  </sheetViews>
  <sheetFormatPr defaultRowHeight="15"/>
  <cols>
    <col min="1" max="1" width="41.140625" customWidth="1"/>
    <col min="2" max="6" width="13.5703125" bestFit="1" customWidth="1"/>
  </cols>
  <sheetData>
    <row r="1" spans="1:9">
      <c r="A1" t="s">
        <v>34</v>
      </c>
    </row>
    <row r="2" spans="1:9">
      <c r="A2" t="s">
        <v>35</v>
      </c>
    </row>
    <row r="3" spans="1:9">
      <c r="A3" s="23" t="s">
        <v>36</v>
      </c>
      <c r="B3" s="23"/>
      <c r="C3" s="23"/>
      <c r="D3" s="23"/>
      <c r="E3" s="23"/>
      <c r="F3" s="23"/>
    </row>
    <row r="4" spans="1:9">
      <c r="A4" t="s">
        <v>37</v>
      </c>
      <c r="B4">
        <v>2021</v>
      </c>
      <c r="C4">
        <v>2022</v>
      </c>
      <c r="D4">
        <v>2023</v>
      </c>
      <c r="E4">
        <v>2024</v>
      </c>
      <c r="F4">
        <v>2025</v>
      </c>
    </row>
    <row r="5" spans="1:9">
      <c r="A5" t="s">
        <v>38</v>
      </c>
      <c r="B5" s="14">
        <v>24131</v>
      </c>
      <c r="C5" s="14">
        <v>27353</v>
      </c>
      <c r="D5" s="14">
        <v>29944</v>
      </c>
      <c r="E5" s="14">
        <v>30472</v>
      </c>
      <c r="F5" s="14">
        <v>33062</v>
      </c>
    </row>
    <row r="6" spans="1:9">
      <c r="A6" t="s">
        <v>39</v>
      </c>
      <c r="B6" s="14">
        <v>18562</v>
      </c>
      <c r="C6" s="14">
        <v>21679</v>
      </c>
      <c r="D6" s="14">
        <v>20548</v>
      </c>
      <c r="E6" s="14">
        <v>26751</v>
      </c>
      <c r="F6" s="14">
        <v>34715</v>
      </c>
    </row>
    <row r="7" spans="1:9">
      <c r="A7" t="s">
        <v>40</v>
      </c>
      <c r="B7" s="14">
        <v>42693</v>
      </c>
      <c r="C7" s="14">
        <v>49032</v>
      </c>
      <c r="D7" s="14">
        <v>50492</v>
      </c>
      <c r="E7" s="14">
        <v>57223</v>
      </c>
      <c r="F7" s="14">
        <v>67777</v>
      </c>
    </row>
    <row r="8" spans="1:9">
      <c r="A8" t="s">
        <v>41</v>
      </c>
      <c r="B8" s="16">
        <v>-224</v>
      </c>
      <c r="C8" s="16">
        <v>1067</v>
      </c>
      <c r="D8" s="16">
        <v>2933</v>
      </c>
      <c r="E8" s="16">
        <v>4253</v>
      </c>
      <c r="F8" s="16">
        <v>4506</v>
      </c>
    </row>
    <row r="9" spans="1:9">
      <c r="A9" t="s">
        <v>42</v>
      </c>
      <c r="B9" s="16">
        <v>23076</v>
      </c>
      <c r="C9" s="16">
        <v>24641</v>
      </c>
      <c r="D9" s="16">
        <v>30768</v>
      </c>
      <c r="E9" s="16">
        <v>35493</v>
      </c>
      <c r="F9" s="16">
        <v>33539</v>
      </c>
    </row>
    <row r="10" spans="1:9">
      <c r="A10" t="s">
        <v>43</v>
      </c>
      <c r="B10" s="16">
        <v>17134</v>
      </c>
      <c r="C10" s="16">
        <v>20424</v>
      </c>
      <c r="D10" s="16">
        <v>13086</v>
      </c>
      <c r="E10" s="16">
        <v>10830</v>
      </c>
      <c r="F10" s="16">
        <v>23643</v>
      </c>
    </row>
    <row r="11" spans="1:9">
      <c r="A11" t="s">
        <v>44</v>
      </c>
      <c r="B11" s="16">
        <v>14298</v>
      </c>
      <c r="C11" s="16">
        <v>17429</v>
      </c>
      <c r="D11" s="16">
        <v>10782</v>
      </c>
      <c r="E11" s="16">
        <v>8842</v>
      </c>
      <c r="F11" s="16">
        <v>20538</v>
      </c>
      <c r="I11" s="15"/>
    </row>
    <row r="12" spans="1:9">
      <c r="A12" t="s">
        <v>45</v>
      </c>
      <c r="B12" s="16">
        <v>14049</v>
      </c>
      <c r="C12" s="16">
        <v>17170</v>
      </c>
      <c r="D12" s="16">
        <v>10219</v>
      </c>
      <c r="E12" s="16">
        <v>8316</v>
      </c>
      <c r="F12" s="16">
        <v>19973</v>
      </c>
    </row>
    <row r="13" spans="1:9">
      <c r="A13" t="s">
        <v>46</v>
      </c>
      <c r="B13">
        <v>7.73</v>
      </c>
      <c r="C13">
        <v>9.48</v>
      </c>
      <c r="D13">
        <v>5.61</v>
      </c>
      <c r="E13">
        <v>4.7300000000000004</v>
      </c>
      <c r="F13">
        <v>11.57</v>
      </c>
    </row>
    <row r="14" spans="1:9">
      <c r="A14" t="s">
        <v>47</v>
      </c>
      <c r="B14">
        <v>7.72</v>
      </c>
      <c r="C14">
        <v>9.4700000000000006</v>
      </c>
      <c r="D14">
        <v>5.6</v>
      </c>
      <c r="E14">
        <v>4.72</v>
      </c>
      <c r="F14">
        <v>11.56</v>
      </c>
    </row>
    <row r="15" spans="1:9">
      <c r="A15" t="s">
        <v>48</v>
      </c>
      <c r="B15">
        <v>3.16</v>
      </c>
      <c r="C15">
        <v>3.56</v>
      </c>
      <c r="D15">
        <v>3.84</v>
      </c>
      <c r="E15">
        <v>4.08</v>
      </c>
      <c r="F15">
        <v>4.2</v>
      </c>
    </row>
    <row r="17" spans="1:6">
      <c r="A17" s="23" t="s">
        <v>49</v>
      </c>
      <c r="B17" s="23"/>
      <c r="C17" s="23"/>
      <c r="D17" s="23"/>
      <c r="E17" s="23"/>
      <c r="F17" s="23"/>
    </row>
    <row r="18" spans="1:6">
      <c r="A18" t="s">
        <v>37</v>
      </c>
      <c r="B18">
        <v>2021</v>
      </c>
      <c r="C18">
        <v>2022</v>
      </c>
      <c r="D18">
        <v>2023</v>
      </c>
      <c r="E18">
        <v>2024</v>
      </c>
      <c r="F18">
        <v>2025</v>
      </c>
    </row>
    <row r="19" spans="1:6">
      <c r="A19" t="s">
        <v>50</v>
      </c>
      <c r="B19" s="16">
        <v>1728672</v>
      </c>
      <c r="C19" s="16">
        <v>1917528</v>
      </c>
      <c r="D19" s="16">
        <v>1957024</v>
      </c>
      <c r="E19" s="16">
        <v>2061751</v>
      </c>
      <c r="F19" s="16">
        <v>2094558</v>
      </c>
    </row>
    <row r="20" spans="1:6">
      <c r="A20" t="s">
        <v>51</v>
      </c>
      <c r="B20" s="16">
        <v>722622</v>
      </c>
      <c r="C20" s="16">
        <v>831043</v>
      </c>
      <c r="D20" s="16">
        <v>895947</v>
      </c>
      <c r="E20" s="16">
        <v>949549</v>
      </c>
      <c r="F20" s="16">
        <v>953012</v>
      </c>
    </row>
    <row r="21" spans="1:6">
      <c r="A21" t="s">
        <v>52</v>
      </c>
      <c r="B21" s="16">
        <v>1125125</v>
      </c>
      <c r="C21" s="16">
        <v>1229970</v>
      </c>
      <c r="D21" s="16">
        <v>1198190</v>
      </c>
      <c r="E21" s="16">
        <v>1268680</v>
      </c>
      <c r="F21" s="16">
        <v>1267104</v>
      </c>
    </row>
    <row r="22" spans="1:6">
      <c r="A22" t="s">
        <v>53</v>
      </c>
      <c r="B22" s="16">
        <v>1628854</v>
      </c>
      <c r="C22" s="16">
        <v>1806145</v>
      </c>
      <c r="D22" s="16">
        <v>1844917</v>
      </c>
      <c r="E22" s="16">
        <v>1946591</v>
      </c>
      <c r="F22" s="16">
        <v>1966731</v>
      </c>
    </row>
    <row r="23" spans="1:6">
      <c r="A23" t="s">
        <v>54</v>
      </c>
      <c r="B23" s="16">
        <v>99818</v>
      </c>
      <c r="C23" s="16">
        <v>111383</v>
      </c>
      <c r="D23" s="16">
        <v>112107</v>
      </c>
      <c r="E23" s="16">
        <v>115160</v>
      </c>
      <c r="F23" s="16">
        <v>127827</v>
      </c>
    </row>
    <row r="24" spans="1:6">
      <c r="A24" t="s">
        <v>55</v>
      </c>
      <c r="B24">
        <v>1817.7</v>
      </c>
      <c r="C24">
        <v>1810.5</v>
      </c>
      <c r="D24">
        <v>1822.5</v>
      </c>
      <c r="E24">
        <v>1750.1</v>
      </c>
      <c r="F24">
        <v>1689.5</v>
      </c>
    </row>
    <row r="26" spans="1:6">
      <c r="A26" s="23" t="s">
        <v>56</v>
      </c>
      <c r="B26" s="23"/>
      <c r="C26" s="23"/>
      <c r="D26" s="23"/>
      <c r="E26" s="23"/>
      <c r="F26" s="23"/>
    </row>
    <row r="27" spans="1:6">
      <c r="A27" t="s">
        <v>37</v>
      </c>
      <c r="B27">
        <v>2021</v>
      </c>
      <c r="C27">
        <v>2022</v>
      </c>
      <c r="D27">
        <v>2023</v>
      </c>
      <c r="E27">
        <v>2024</v>
      </c>
      <c r="F27">
        <v>2025</v>
      </c>
    </row>
    <row r="28" spans="1:6">
      <c r="A28" t="s">
        <v>10</v>
      </c>
      <c r="B28" s="1">
        <v>0.155</v>
      </c>
      <c r="C28" s="2">
        <v>0.18</v>
      </c>
      <c r="D28" s="1">
        <v>0.10100000000000001</v>
      </c>
      <c r="E28" s="1">
        <v>8.2000000000000003E-2</v>
      </c>
      <c r="F28" s="1">
        <v>0.17799999999999999</v>
      </c>
    </row>
    <row r="29" spans="1:6">
      <c r="A29" t="s">
        <v>11</v>
      </c>
      <c r="B29" s="1">
        <v>0.159</v>
      </c>
      <c r="C29" s="1">
        <v>0.159</v>
      </c>
      <c r="D29" s="1">
        <v>0.14399999999999999</v>
      </c>
      <c r="E29" s="1">
        <v>0.13600000000000001</v>
      </c>
      <c r="F29" s="1">
        <v>0.129</v>
      </c>
    </row>
    <row r="30" spans="1:6">
      <c r="A30" t="s">
        <v>57</v>
      </c>
      <c r="B30" s="1">
        <v>0.152</v>
      </c>
      <c r="C30" s="1">
        <v>0.16200000000000001</v>
      </c>
      <c r="D30" s="1">
        <v>0.14399999999999999</v>
      </c>
      <c r="E30" s="1">
        <v>0.13100000000000001</v>
      </c>
      <c r="F30" s="1">
        <v>0.14699999999999999</v>
      </c>
    </row>
    <row r="31" spans="1:6">
      <c r="A31" t="s">
        <v>58</v>
      </c>
      <c r="B31" s="1">
        <v>0.54100000000000004</v>
      </c>
      <c r="C31" s="1">
        <v>0.503</v>
      </c>
      <c r="D31" s="1">
        <v>0.60899999999999999</v>
      </c>
      <c r="E31" s="2">
        <v>0.62</v>
      </c>
      <c r="F31" s="1">
        <v>0.495</v>
      </c>
    </row>
    <row r="32" spans="1:6">
      <c r="A32" t="s">
        <v>59</v>
      </c>
      <c r="B32" s="1">
        <v>0.53700000000000003</v>
      </c>
      <c r="C32" s="1">
        <v>0.52800000000000002</v>
      </c>
      <c r="D32" s="1">
        <v>0.52900000000000003</v>
      </c>
      <c r="E32" s="1">
        <v>0.58099999999999996</v>
      </c>
      <c r="F32" s="1">
        <v>0.58399999999999996</v>
      </c>
    </row>
    <row r="33" spans="1:6">
      <c r="A33" t="s">
        <v>60</v>
      </c>
      <c r="B33">
        <v>51.66</v>
      </c>
      <c r="C33">
        <v>55</v>
      </c>
      <c r="D33">
        <v>56.58</v>
      </c>
      <c r="E33">
        <v>59.59</v>
      </c>
      <c r="F33">
        <v>68.78</v>
      </c>
    </row>
    <row r="34" spans="1:6">
      <c r="A34" t="s">
        <v>61</v>
      </c>
      <c r="B34">
        <v>89.64</v>
      </c>
      <c r="C34">
        <v>87.19</v>
      </c>
      <c r="D34">
        <v>77.459999999999994</v>
      </c>
      <c r="E34">
        <v>76.97</v>
      </c>
      <c r="F34">
        <v>115.16</v>
      </c>
    </row>
  </sheetData>
  <mergeCells count="3">
    <mergeCell ref="A3:F3"/>
    <mergeCell ref="A17:F17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4D34-CAFD-4B39-8352-ADD413FC7525}">
  <dimension ref="A1:G30"/>
  <sheetViews>
    <sheetView workbookViewId="0">
      <selection activeCell="E27" sqref="E27"/>
    </sheetView>
  </sheetViews>
  <sheetFormatPr defaultRowHeight="15"/>
  <cols>
    <col min="1" max="1" width="22" customWidth="1"/>
    <col min="6" max="6" width="15.85546875" customWidth="1"/>
  </cols>
  <sheetData>
    <row r="1" spans="1:6">
      <c r="A1" s="17" t="s">
        <v>35</v>
      </c>
      <c r="B1" s="7"/>
      <c r="C1" s="7"/>
      <c r="D1" s="7"/>
      <c r="E1" s="7"/>
      <c r="F1" s="7"/>
    </row>
    <row r="2" spans="1:6">
      <c r="A2" s="26" t="s">
        <v>62</v>
      </c>
      <c r="B2" s="26"/>
      <c r="C2" s="26"/>
      <c r="D2" s="26"/>
      <c r="E2" s="26"/>
      <c r="F2" s="26"/>
    </row>
    <row r="3" spans="1:6">
      <c r="A3" t="s">
        <v>37</v>
      </c>
      <c r="B3">
        <v>2022</v>
      </c>
      <c r="C3">
        <v>2023</v>
      </c>
      <c r="D3">
        <v>2024</v>
      </c>
      <c r="E3">
        <v>2025</v>
      </c>
      <c r="F3" t="s">
        <v>63</v>
      </c>
    </row>
    <row r="4" spans="1:6">
      <c r="A4" t="s">
        <v>64</v>
      </c>
      <c r="B4" s="1">
        <f>'Raw Data'!C7/'Raw Data'!B7-1</f>
        <v>0.14847867331881104</v>
      </c>
      <c r="C4" s="1">
        <f>'Raw Data'!D7/'Raw Data'!C7-1</f>
        <v>2.9776472507750062E-2</v>
      </c>
      <c r="D4" s="1">
        <f>'Raw Data'!E7/'Raw Data'!D7-1</f>
        <v>0.1333082468509863</v>
      </c>
      <c r="E4" s="1">
        <f>'Raw Data'!F7/'Raw Data'!E7-1</f>
        <v>0.18443632804990995</v>
      </c>
      <c r="F4" s="1">
        <f>('Raw Data'!F7/'Raw Data'!B7)^(1/4)-1</f>
        <v>0.12248725112395054</v>
      </c>
    </row>
    <row r="5" spans="1:6">
      <c r="A5" t="s">
        <v>65</v>
      </c>
      <c r="B5" s="1">
        <f>'Raw Data'!C11/'Raw Data'!B11-1</f>
        <v>0.21898167575884742</v>
      </c>
      <c r="C5" s="1">
        <f>'Raw Data'!D11/'Raw Data'!C11-1</f>
        <v>-0.38137586780652932</v>
      </c>
      <c r="D5" s="1">
        <f>'Raw Data'!E11/'Raw Data'!D11-1</f>
        <v>-0.1799295121498794</v>
      </c>
      <c r="E5" s="1">
        <f>'Raw Data'!F11/'Raw Data'!E11-1</f>
        <v>1.3227776521149059</v>
      </c>
      <c r="F5" s="1">
        <f>('Raw Data'!F11/'Raw Data'!B11)^(1/4)-1</f>
        <v>9.4764520486429138E-2</v>
      </c>
    </row>
    <row r="6" spans="1:6">
      <c r="A6" t="s">
        <v>66</v>
      </c>
      <c r="B6" s="1">
        <f>'Raw Data'!C14/'Raw Data'!B14-1</f>
        <v>0.22668393782383434</v>
      </c>
      <c r="C6" s="1">
        <f>'Raw Data'!D14/'Raw Data'!C14-1</f>
        <v>-0.40865892291446682</v>
      </c>
      <c r="D6" s="1">
        <f>'Raw Data'!E14/'Raw Data'!D14-1</f>
        <v>-0.15714285714285714</v>
      </c>
      <c r="E6" s="1">
        <f>'Raw Data'!F14/'Raw Data'!E14-1</f>
        <v>1.4491525423728815</v>
      </c>
      <c r="F6" s="1">
        <f>('Raw Data'!F14/'Raw Data'!B14)^(1/4)-1</f>
        <v>0.10620376797079323</v>
      </c>
    </row>
    <row r="7" spans="1:6">
      <c r="A7" t="s">
        <v>67</v>
      </c>
      <c r="B7" s="1">
        <f>'Raw Data'!C20/'Raw Data'!B20-1</f>
        <v>0.15003833262757005</v>
      </c>
      <c r="C7" s="1">
        <f>'Raw Data'!D20/'Raw Data'!C20-1</f>
        <v>7.8099448524324266E-2</v>
      </c>
      <c r="D7" s="1">
        <f>'Raw Data'!E20/'Raw Data'!D20-1</f>
        <v>5.9827199599976399E-2</v>
      </c>
      <c r="E7" s="1">
        <f>'Raw Data'!F20/'Raw Data'!E20-1</f>
        <v>3.6469945205566123E-3</v>
      </c>
      <c r="F7" s="1">
        <f>('Raw Data'!F20/'Raw Data'!B20)^(1/4)-1</f>
        <v>7.1634773119886974E-2</v>
      </c>
    </row>
    <row r="8" spans="1:6">
      <c r="A8" t="s">
        <v>68</v>
      </c>
      <c r="B8" s="1">
        <f>'Raw Data'!C21/'Raw Data'!B21-1</f>
        <v>9.3185201644261806E-2</v>
      </c>
      <c r="C8" s="1">
        <f>'Raw Data'!D21/'Raw Data'!C21-1</f>
        <v>-2.5838028569802551E-2</v>
      </c>
      <c r="D8" s="1">
        <f>'Raw Data'!E21/'Raw Data'!D21-1</f>
        <v>5.8830402523806669E-2</v>
      </c>
      <c r="E8" s="1">
        <f>'Raw Data'!F21/'Raw Data'!E21-1</f>
        <v>-1.242236024844745E-3</v>
      </c>
      <c r="F8" s="1">
        <f>('Raw Data'!F21/'Raw Data'!B21)^(1/4)-1</f>
        <v>3.0155704526038107E-2</v>
      </c>
    </row>
    <row r="9" spans="1:6">
      <c r="A9" t="s">
        <v>69</v>
      </c>
      <c r="B9" s="1">
        <f>'Raw Data'!C19/'Raw Data'!B19-1</f>
        <v>0.10924918087410451</v>
      </c>
      <c r="C9" s="1">
        <f>'Raw Data'!D19/'Raw Data'!C19-1</f>
        <v>2.059735242457994E-2</v>
      </c>
      <c r="D9" s="1">
        <f>'Raw Data'!E19/'Raw Data'!D19-1</f>
        <v>5.3513395850025347E-2</v>
      </c>
      <c r="E9" s="1">
        <f>'Raw Data'!F19/'Raw Data'!E19-1</f>
        <v>1.5912202782974338E-2</v>
      </c>
      <c r="F9" s="1">
        <f>('Raw Data'!F19/'Raw Data'!B19)^(1/4)-1</f>
        <v>4.9167788186728734E-2</v>
      </c>
    </row>
    <row r="10" spans="1:6">
      <c r="A10" t="s">
        <v>70</v>
      </c>
      <c r="B10" s="1">
        <f>'Raw Data'!C15/'Raw Data'!B15-1</f>
        <v>0.12658227848101267</v>
      </c>
      <c r="C10" s="1">
        <f>'Raw Data'!D15/'Raw Data'!C15-1</f>
        <v>7.8651685393258397E-2</v>
      </c>
      <c r="D10" s="1">
        <f>'Raw Data'!E15/'Raw Data'!D15-1</f>
        <v>6.25E-2</v>
      </c>
      <c r="E10" s="1">
        <f>'Raw Data'!F15/'Raw Data'!E15-1</f>
        <v>2.941176470588247E-2</v>
      </c>
      <c r="F10" s="1">
        <f>('Raw Data'!F15/'Raw Data'!B15)^(1/4)-1</f>
        <v>7.3718786655323276E-2</v>
      </c>
    </row>
    <row r="12" spans="1:6">
      <c r="A12" s="23" t="s">
        <v>71</v>
      </c>
      <c r="B12" s="23"/>
      <c r="C12" s="23"/>
      <c r="D12" s="23"/>
      <c r="E12" s="23"/>
      <c r="F12" s="3"/>
    </row>
    <row r="13" spans="1:6">
      <c r="A13" t="s">
        <v>37</v>
      </c>
      <c r="B13">
        <v>2022</v>
      </c>
      <c r="C13">
        <v>2023</v>
      </c>
      <c r="D13">
        <v>2024</v>
      </c>
      <c r="E13">
        <v>2025</v>
      </c>
    </row>
    <row r="14" spans="1:6">
      <c r="A14" t="s">
        <v>72</v>
      </c>
      <c r="B14" s="1">
        <f>'Raw Data'!C11/(('Raw Data'!B19+'Raw Data'!C19)/2)</f>
        <v>9.560089956667215E-3</v>
      </c>
      <c r="C14" s="1">
        <f>'Raw Data'!D11/(('Raw Data'!C19+'Raw Data'!D19)/2)</f>
        <v>5.5655466748155656E-3</v>
      </c>
      <c r="D14" s="1">
        <f>'Raw Data'!E11/(('Raw Data'!D19+'Raw Data'!E19)/2)</f>
        <v>4.4003458765419813E-3</v>
      </c>
      <c r="E14" s="1">
        <f>'Raw Data'!F11/(('Raw Data'!E19+'Raw Data'!F19)/2)</f>
        <v>9.8828070771446487E-3</v>
      </c>
    </row>
    <row r="15" spans="1:6">
      <c r="A15" t="s">
        <v>10</v>
      </c>
      <c r="B15" s="2">
        <f>'Raw Data'!C28</f>
        <v>0.18</v>
      </c>
      <c r="C15" s="1">
        <f>'Raw Data'!D28</f>
        <v>0.10100000000000001</v>
      </c>
      <c r="D15" s="1">
        <f>'Raw Data'!E28</f>
        <v>8.2000000000000003E-2</v>
      </c>
      <c r="E15" s="1">
        <f>'Raw Data'!F28</f>
        <v>0.17799999999999999</v>
      </c>
    </row>
    <row r="16" spans="1:6">
      <c r="A16" t="s">
        <v>11</v>
      </c>
      <c r="B16" s="1">
        <f>'Raw Data'!C29</f>
        <v>0.159</v>
      </c>
      <c r="C16" s="1">
        <f>'Raw Data'!D29</f>
        <v>0.14399999999999999</v>
      </c>
      <c r="D16" s="1">
        <f>'Raw Data'!E29</f>
        <v>0.13600000000000001</v>
      </c>
      <c r="E16" s="1">
        <f>'Raw Data'!F29</f>
        <v>0.129</v>
      </c>
    </row>
    <row r="18" spans="1:7">
      <c r="A18" s="23" t="s">
        <v>73</v>
      </c>
      <c r="B18" s="23"/>
      <c r="C18" s="23"/>
      <c r="D18" s="23"/>
      <c r="E18" s="23"/>
    </row>
    <row r="19" spans="1:7">
      <c r="A19" t="s">
        <v>37</v>
      </c>
      <c r="B19">
        <v>2022</v>
      </c>
      <c r="C19">
        <v>2023</v>
      </c>
      <c r="D19">
        <v>2024</v>
      </c>
      <c r="E19">
        <v>2025</v>
      </c>
    </row>
    <row r="20" spans="1:7">
      <c r="A20" t="s">
        <v>74</v>
      </c>
      <c r="B20" s="1">
        <f>'Raw Data'!C31</f>
        <v>0.503</v>
      </c>
      <c r="C20" s="1">
        <f>'Raw Data'!D31</f>
        <v>0.60899999999999999</v>
      </c>
      <c r="D20" s="1">
        <f>'Raw Data'!E31</f>
        <v>0.62</v>
      </c>
      <c r="E20" s="1">
        <f>'Raw Data'!F31</f>
        <v>0.495</v>
      </c>
    </row>
    <row r="21" spans="1:7">
      <c r="A21" t="s">
        <v>59</v>
      </c>
      <c r="B21" s="1">
        <f>'Raw Data'!C32</f>
        <v>0.52800000000000002</v>
      </c>
      <c r="C21" s="1">
        <f>'Raw Data'!D32</f>
        <v>0.52900000000000003</v>
      </c>
      <c r="D21" s="1">
        <f>'Raw Data'!E32</f>
        <v>0.58099999999999996</v>
      </c>
      <c r="E21" s="1">
        <f>'Raw Data'!F32</f>
        <v>0.58399999999999996</v>
      </c>
    </row>
    <row r="22" spans="1:7">
      <c r="A22" t="s">
        <v>12</v>
      </c>
      <c r="B22" s="1">
        <f>'Raw Data'!C8/(('Raw Data'!B20+'Raw Data'!C20)/2)</f>
        <v>1.3735264680610041E-3</v>
      </c>
      <c r="C22" s="1">
        <f>'Raw Data'!D8/(('Raw Data'!C20+'Raw Data'!D20)/2)</f>
        <v>3.3966612429718757E-3</v>
      </c>
      <c r="D22" s="1">
        <f>'Raw Data'!E8/(('Raw Data'!D20+'Raw Data'!E20)/2)</f>
        <v>4.6090590280336557E-3</v>
      </c>
      <c r="E22" s="1">
        <f>'Raw Data'!F8/(('Raw Data'!E20+'Raw Data'!F20)/2)</f>
        <v>4.7367732230398918E-3</v>
      </c>
    </row>
    <row r="24" spans="1:7">
      <c r="A24" s="23" t="s">
        <v>75</v>
      </c>
      <c r="B24" s="23"/>
      <c r="C24" s="23"/>
      <c r="D24" s="23"/>
      <c r="E24" s="23"/>
      <c r="F24" s="23"/>
    </row>
    <row r="25" spans="1:7">
      <c r="A25" t="s">
        <v>37</v>
      </c>
      <c r="B25">
        <v>2021</v>
      </c>
      <c r="C25">
        <v>2022</v>
      </c>
      <c r="D25">
        <v>2023</v>
      </c>
      <c r="E25">
        <v>2024</v>
      </c>
      <c r="F25">
        <v>2025</v>
      </c>
      <c r="G25" t="s">
        <v>76</v>
      </c>
    </row>
    <row r="26" spans="1:7">
      <c r="A26" t="s">
        <v>57</v>
      </c>
      <c r="B26" s="1">
        <f>'Raw Data'!B30</f>
        <v>0.152</v>
      </c>
      <c r="C26" s="1">
        <f>'Raw Data'!C30</f>
        <v>0.16200000000000001</v>
      </c>
      <c r="D26" s="1">
        <f>'Raw Data'!D30</f>
        <v>0.14399999999999999</v>
      </c>
      <c r="E26" s="1">
        <f>'Raw Data'!E30</f>
        <v>0.13100000000000001</v>
      </c>
      <c r="F26" s="1">
        <f>'Raw Data'!F30</f>
        <v>0.14699999999999999</v>
      </c>
      <c r="G26" s="1">
        <f>AVERAGE(B26:F26)</f>
        <v>0.1472</v>
      </c>
    </row>
    <row r="27" spans="1:7">
      <c r="A27" t="s">
        <v>60</v>
      </c>
      <c r="B27">
        <f>'Raw Data'!B33</f>
        <v>51.66</v>
      </c>
      <c r="C27">
        <f>'Raw Data'!C33</f>
        <v>55</v>
      </c>
      <c r="D27">
        <f>'Raw Data'!D33</f>
        <v>56.58</v>
      </c>
      <c r="E27">
        <f>'Raw Data'!E33</f>
        <v>59.59</v>
      </c>
      <c r="F27">
        <f>'Raw Data'!F33</f>
        <v>68.78</v>
      </c>
      <c r="G27">
        <f>AVERAGE(B27:F27)</f>
        <v>58.322000000000003</v>
      </c>
    </row>
    <row r="28" spans="1:7">
      <c r="A28" t="s">
        <v>77</v>
      </c>
      <c r="B28">
        <f>'Raw Data'!B34</f>
        <v>89.64</v>
      </c>
      <c r="C28">
        <f>'Raw Data'!C34</f>
        <v>87.19</v>
      </c>
      <c r="D28">
        <f>'Raw Data'!D34</f>
        <v>77.459999999999994</v>
      </c>
      <c r="E28">
        <f>'Raw Data'!E34</f>
        <v>76.97</v>
      </c>
      <c r="F28">
        <f>'Raw Data'!F34</f>
        <v>115.16</v>
      </c>
      <c r="G28">
        <f>AVERAGE(B28:F28)</f>
        <v>89.283999999999992</v>
      </c>
    </row>
    <row r="29" spans="1:7">
      <c r="A29" t="s">
        <v>78</v>
      </c>
      <c r="B29" s="4">
        <f>B28/B27</f>
        <v>1.7351916376306622</v>
      </c>
      <c r="C29" s="4">
        <f t="shared" ref="C29:F29" si="0">C28/C27</f>
        <v>1.5852727272727272</v>
      </c>
      <c r="D29" s="4">
        <f t="shared" si="0"/>
        <v>1.3690349946977729</v>
      </c>
      <c r="E29" s="4">
        <f t="shared" si="0"/>
        <v>1.2916596744420203</v>
      </c>
      <c r="F29" s="4">
        <f t="shared" si="0"/>
        <v>1.6743239313753997</v>
      </c>
      <c r="G29" s="4">
        <f>AVERAGE(B29:F29)</f>
        <v>1.5310965930837166</v>
      </c>
    </row>
    <row r="30" spans="1:7">
      <c r="A30" t="s">
        <v>79</v>
      </c>
      <c r="B30" s="4">
        <f>'Raw Data'!B34/'Raw Data'!B14</f>
        <v>11.61139896373057</v>
      </c>
      <c r="C30" s="4">
        <f>'Raw Data'!C34/'Raw Data'!C14</f>
        <v>9.2069693769799361</v>
      </c>
      <c r="D30" s="4">
        <f>'Raw Data'!D34/'Raw Data'!D14</f>
        <v>13.832142857142857</v>
      </c>
      <c r="E30" s="4">
        <f>'Raw Data'!E34/'Raw Data'!E14</f>
        <v>16.307203389830509</v>
      </c>
      <c r="F30" s="4">
        <f>'Raw Data'!F34/'Raw Data'!F14</f>
        <v>9.961937716262975</v>
      </c>
      <c r="G30" s="4">
        <f>AVERAGE(B30:F30)</f>
        <v>12.183930460789368</v>
      </c>
    </row>
  </sheetData>
  <mergeCells count="4">
    <mergeCell ref="A2:F2"/>
    <mergeCell ref="A12:E12"/>
    <mergeCell ref="A18:E18"/>
    <mergeCell ref="A24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35A4-ACAD-49DB-93C7-F9BB270C709C}">
  <dimension ref="A1:H39"/>
  <sheetViews>
    <sheetView topLeftCell="A11" workbookViewId="0">
      <selection activeCell="I24" sqref="I24"/>
    </sheetView>
  </sheetViews>
  <sheetFormatPr defaultRowHeight="15"/>
  <cols>
    <col min="1" max="1" width="23.28515625" customWidth="1"/>
    <col min="2" max="2" width="15.28515625" customWidth="1"/>
    <col min="3" max="3" width="12.85546875" customWidth="1"/>
    <col min="4" max="4" width="13.140625" customWidth="1"/>
    <col min="5" max="5" width="13" customWidth="1"/>
    <col min="6" max="6" width="12.85546875" customWidth="1"/>
  </cols>
  <sheetData>
    <row r="1" spans="1:8">
      <c r="A1" t="s">
        <v>35</v>
      </c>
    </row>
    <row r="2" spans="1:8">
      <c r="A2" s="23" t="s">
        <v>80</v>
      </c>
      <c r="B2" s="23"/>
      <c r="C2" s="23"/>
      <c r="D2" s="23"/>
    </row>
    <row r="3" spans="1:8">
      <c r="A3" t="s">
        <v>81</v>
      </c>
      <c r="B3" s="3"/>
      <c r="C3" s="3"/>
      <c r="D3" s="3"/>
    </row>
    <row r="4" spans="1:8">
      <c r="A4" t="s">
        <v>37</v>
      </c>
      <c r="B4" t="s">
        <v>18</v>
      </c>
      <c r="C4" t="s">
        <v>19</v>
      </c>
      <c r="D4" t="s">
        <v>20</v>
      </c>
    </row>
    <row r="5" spans="1:8">
      <c r="A5" t="s">
        <v>64</v>
      </c>
      <c r="B5" s="18">
        <f>B15</f>
        <v>0.05</v>
      </c>
      <c r="C5" s="19">
        <v>4.4999999999999998E-2</v>
      </c>
      <c r="D5" s="18">
        <v>0.04</v>
      </c>
      <c r="F5" s="13"/>
    </row>
    <row r="6" spans="1:8">
      <c r="A6" t="s">
        <v>12</v>
      </c>
      <c r="B6" s="19">
        <v>4.4999999999999997E-3</v>
      </c>
      <c r="C6" s="19">
        <v>4.0000000000000001E-3</v>
      </c>
      <c r="D6" s="19">
        <v>3.8E-3</v>
      </c>
    </row>
    <row r="7" spans="1:8">
      <c r="A7" t="s">
        <v>82</v>
      </c>
      <c r="B7" s="18">
        <v>0.03</v>
      </c>
      <c r="C7" s="18">
        <v>0.03</v>
      </c>
      <c r="D7" s="18">
        <v>0.03</v>
      </c>
    </row>
    <row r="8" spans="1:8">
      <c r="A8" t="s">
        <v>83</v>
      </c>
      <c r="B8" s="18">
        <v>0.21</v>
      </c>
      <c r="C8" s="18">
        <v>0.21</v>
      </c>
      <c r="D8" s="18">
        <v>0.21</v>
      </c>
      <c r="H8" s="12"/>
    </row>
    <row r="9" spans="1:8">
      <c r="A9" t="s">
        <v>67</v>
      </c>
      <c r="B9" s="18">
        <v>0.03</v>
      </c>
      <c r="C9" s="19">
        <v>3.5000000000000003E-2</v>
      </c>
      <c r="D9" s="18">
        <v>0.04</v>
      </c>
    </row>
    <row r="10" spans="1:8">
      <c r="A10" t="s">
        <v>68</v>
      </c>
      <c r="B10" s="19">
        <v>2.5000000000000001E-2</v>
      </c>
      <c r="C10" s="18">
        <v>0.03</v>
      </c>
      <c r="D10" s="18">
        <v>0.03</v>
      </c>
    </row>
    <row r="12" spans="1:8">
      <c r="A12" s="23" t="s">
        <v>84</v>
      </c>
      <c r="B12" s="23"/>
      <c r="C12" s="23"/>
      <c r="D12" s="23"/>
      <c r="E12" s="23"/>
      <c r="F12" s="23"/>
    </row>
    <row r="13" spans="1:8">
      <c r="A13" t="s">
        <v>85</v>
      </c>
      <c r="B13" t="s">
        <v>64</v>
      </c>
      <c r="C13" t="s">
        <v>86</v>
      </c>
      <c r="D13" t="s">
        <v>87</v>
      </c>
      <c r="E13" t="s">
        <v>88</v>
      </c>
      <c r="F13" t="s">
        <v>89</v>
      </c>
    </row>
    <row r="14" spans="1:8">
      <c r="A14" t="s">
        <v>90</v>
      </c>
      <c r="B14" s="2">
        <v>0.03</v>
      </c>
      <c r="C14" s="16">
        <v>67777</v>
      </c>
      <c r="D14" s="16">
        <f>Forecast!C14*(1+Forecast!B14)</f>
        <v>69810.31</v>
      </c>
      <c r="E14" s="16">
        <f>D14*(1+B14)</f>
        <v>71904.619300000006</v>
      </c>
      <c r="F14" s="16">
        <f>E14*(1+B14)</f>
        <v>74061.757879000012</v>
      </c>
    </row>
    <row r="15" spans="1:8">
      <c r="A15" t="s">
        <v>91</v>
      </c>
      <c r="B15" s="2">
        <v>0.05</v>
      </c>
      <c r="C15" s="16">
        <v>67777</v>
      </c>
      <c r="D15" s="16">
        <f>C15*(1+B15)</f>
        <v>71165.850000000006</v>
      </c>
      <c r="E15" s="16">
        <f>D15*(1+B15)</f>
        <v>74724.142500000016</v>
      </c>
      <c r="F15" s="16">
        <f>E15*(1+B15)</f>
        <v>78460.349625000017</v>
      </c>
    </row>
    <row r="16" spans="1:8">
      <c r="A16" t="s">
        <v>92</v>
      </c>
      <c r="B16" s="2">
        <v>7.0000000000000007E-2</v>
      </c>
      <c r="C16" s="16">
        <v>67777</v>
      </c>
      <c r="D16" s="16">
        <f>C16*(1+B16)</f>
        <v>72521.39</v>
      </c>
      <c r="E16" s="16">
        <f>D16*(1+B16)</f>
        <v>77597.887300000002</v>
      </c>
      <c r="F16" s="16">
        <f>E16*(1+B16)</f>
        <v>83029.739411000002</v>
      </c>
    </row>
    <row r="18" spans="1:8">
      <c r="A18" s="23" t="s">
        <v>93</v>
      </c>
      <c r="B18" s="23"/>
      <c r="C18" s="23"/>
      <c r="D18" s="23"/>
      <c r="E18" s="23"/>
    </row>
    <row r="19" spans="1:8">
      <c r="A19" t="s">
        <v>37</v>
      </c>
      <c r="B19" t="s">
        <v>94</v>
      </c>
      <c r="C19" t="s">
        <v>18</v>
      </c>
      <c r="D19" t="s">
        <v>19</v>
      </c>
      <c r="E19" t="s">
        <v>20</v>
      </c>
    </row>
    <row r="20" spans="1:8">
      <c r="A20" t="s">
        <v>40</v>
      </c>
      <c r="B20" s="16">
        <f>'Raw Data'!F7</f>
        <v>67777</v>
      </c>
      <c r="C20" s="16">
        <f>B20*(1+B5)</f>
        <v>71165.850000000006</v>
      </c>
      <c r="D20" s="16">
        <f>C20*(1+C5)</f>
        <v>74368.313250000007</v>
      </c>
      <c r="E20" s="16">
        <f>D20*(1+D5)</f>
        <v>77343.045780000015</v>
      </c>
    </row>
    <row r="21" spans="1:8">
      <c r="A21" t="s">
        <v>95</v>
      </c>
      <c r="B21" s="16">
        <f>'Raw Data'!F20</f>
        <v>953012</v>
      </c>
      <c r="C21" s="16">
        <f>B21*(1+B9)</f>
        <v>981602.36</v>
      </c>
      <c r="D21" s="16">
        <f>C21*(1+C9)</f>
        <v>1015958.4426</v>
      </c>
      <c r="E21" s="16">
        <f>D21*(1+D9)</f>
        <v>1056596.780304</v>
      </c>
    </row>
    <row r="22" spans="1:8">
      <c r="A22" t="s">
        <v>96</v>
      </c>
      <c r="B22" s="16">
        <f>'Raw Data'!F21</f>
        <v>1267104</v>
      </c>
      <c r="C22" s="16">
        <f>B22*(1+B10)</f>
        <v>1298781.5999999999</v>
      </c>
      <c r="D22" s="16">
        <f>C22*(1+C10)</f>
        <v>1337745.048</v>
      </c>
      <c r="E22" s="16">
        <f>D22*(1+D10)</f>
        <v>1377877.3994400001</v>
      </c>
    </row>
    <row r="23" spans="1:8">
      <c r="A23" t="s">
        <v>97</v>
      </c>
      <c r="B23" s="16"/>
      <c r="C23" s="16">
        <f>(B21+C21)/2</f>
        <v>967307.17999999993</v>
      </c>
      <c r="D23" s="16">
        <f t="shared" ref="D23:E23" si="0">(C21+D21)/2</f>
        <v>998780.40130000003</v>
      </c>
      <c r="E23" s="16">
        <f t="shared" si="0"/>
        <v>1036277.611452</v>
      </c>
    </row>
    <row r="24" spans="1:8">
      <c r="A24" t="s">
        <v>41</v>
      </c>
      <c r="B24" s="16">
        <f>'Raw Data'!F8</f>
        <v>4506</v>
      </c>
      <c r="C24" s="16">
        <f>C23*B6</f>
        <v>4352.8823099999991</v>
      </c>
      <c r="D24" s="16">
        <f>D23*C6</f>
        <v>3995.1216052</v>
      </c>
      <c r="E24" s="16">
        <f>E23*D6</f>
        <v>3937.8549235176001</v>
      </c>
    </row>
    <row r="25" spans="1:8">
      <c r="A25" t="s">
        <v>42</v>
      </c>
      <c r="B25" s="16">
        <f>'Raw Data'!F9</f>
        <v>33539</v>
      </c>
      <c r="C25" s="16">
        <f>B25*(1+B7)</f>
        <v>34545.17</v>
      </c>
      <c r="D25" s="16">
        <f>C25*(1+C7)</f>
        <v>35581.525099999999</v>
      </c>
      <c r="E25" s="16">
        <f>D25*(1+D7)</f>
        <v>36648.970852999999</v>
      </c>
    </row>
    <row r="26" spans="1:8">
      <c r="A26" t="s">
        <v>98</v>
      </c>
      <c r="B26" s="16"/>
      <c r="C26" s="16">
        <f>C20-C24-C25</f>
        <v>32267.797690000007</v>
      </c>
      <c r="D26" s="16">
        <f t="shared" ref="D26:E26" si="1">D20-D24-D25</f>
        <v>34791.666544800013</v>
      </c>
      <c r="E26" s="16">
        <f t="shared" si="1"/>
        <v>36756.220003482413</v>
      </c>
    </row>
    <row r="27" spans="1:8">
      <c r="A27" t="s">
        <v>99</v>
      </c>
      <c r="B27" s="16"/>
      <c r="C27" s="16">
        <f>C26*B8</f>
        <v>6776.2375149000009</v>
      </c>
      <c r="D27" s="16">
        <f>D26*C8</f>
        <v>7306.2499744080023</v>
      </c>
      <c r="E27" s="16">
        <f>E26*D8</f>
        <v>7718.8062007313065</v>
      </c>
    </row>
    <row r="28" spans="1:8">
      <c r="A28" t="s">
        <v>44</v>
      </c>
      <c r="B28" s="16">
        <f>'Raw Data'!F11</f>
        <v>20538</v>
      </c>
      <c r="C28" s="16">
        <f>C26-C27</f>
        <v>25491.560175100007</v>
      </c>
      <c r="D28" s="16">
        <f t="shared" ref="D28:E28" si="2">D26-D27</f>
        <v>27485.416570392012</v>
      </c>
      <c r="E28" s="16">
        <f t="shared" si="2"/>
        <v>29037.413802751107</v>
      </c>
    </row>
    <row r="30" spans="1:8">
      <c r="A30" s="23" t="s">
        <v>100</v>
      </c>
      <c r="B30" s="23"/>
      <c r="C30" s="23"/>
      <c r="D30" s="23"/>
      <c r="E30" s="23"/>
      <c r="F30" s="23"/>
      <c r="G30" s="23"/>
      <c r="H30" s="23"/>
    </row>
    <row r="31" spans="1:8">
      <c r="A31" t="s">
        <v>101</v>
      </c>
    </row>
    <row r="32" spans="1:8">
      <c r="A32" t="s">
        <v>102</v>
      </c>
    </row>
    <row r="33" spans="1:1">
      <c r="A33" t="s">
        <v>103</v>
      </c>
    </row>
    <row r="34" spans="1:1">
      <c r="A34" t="s">
        <v>104</v>
      </c>
    </row>
    <row r="35" spans="1:1">
      <c r="A35" t="s">
        <v>105</v>
      </c>
    </row>
    <row r="36" spans="1:1">
      <c r="A36" t="s">
        <v>106</v>
      </c>
    </row>
    <row r="37" spans="1:1">
      <c r="A37" t="s">
        <v>107</v>
      </c>
    </row>
    <row r="38" spans="1:1">
      <c r="A38" t="s">
        <v>108</v>
      </c>
    </row>
    <row r="39" spans="1:1">
      <c r="A39" t="s">
        <v>109</v>
      </c>
    </row>
  </sheetData>
  <mergeCells count="4">
    <mergeCell ref="A30:H30"/>
    <mergeCell ref="A18:E18"/>
    <mergeCell ref="A12:F12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C489-E218-48E4-8953-9DCA828E0B42}">
  <dimension ref="A1:C9"/>
  <sheetViews>
    <sheetView workbookViewId="0">
      <selection activeCell="C15" sqref="C15"/>
    </sheetView>
  </sheetViews>
  <sheetFormatPr defaultRowHeight="15"/>
  <cols>
    <col min="1" max="1" width="31.28515625" customWidth="1"/>
    <col min="2" max="2" width="60.5703125" customWidth="1"/>
    <col min="3" max="3" width="104.140625" customWidth="1"/>
  </cols>
  <sheetData>
    <row r="1" spans="1:3">
      <c r="A1" t="s">
        <v>110</v>
      </c>
    </row>
    <row r="2" spans="1:3">
      <c r="A2" t="s">
        <v>111</v>
      </c>
      <c r="B2" t="s">
        <v>112</v>
      </c>
      <c r="C2" t="s">
        <v>113</v>
      </c>
    </row>
    <row r="3" spans="1:3">
      <c r="A3" t="s">
        <v>114</v>
      </c>
      <c r="B3" s="20" t="s">
        <v>115</v>
      </c>
      <c r="C3" s="22" t="s">
        <v>116</v>
      </c>
    </row>
    <row r="4" spans="1:3">
      <c r="A4" t="s">
        <v>117</v>
      </c>
      <c r="B4" s="21" t="s">
        <v>115</v>
      </c>
      <c r="C4" s="22" t="s">
        <v>118</v>
      </c>
    </row>
    <row r="5" spans="1:3">
      <c r="A5" t="s">
        <v>119</v>
      </c>
      <c r="B5" s="21" t="s">
        <v>115</v>
      </c>
      <c r="C5" s="22" t="s">
        <v>120</v>
      </c>
    </row>
    <row r="6" spans="1:3">
      <c r="A6" t="s">
        <v>121</v>
      </c>
      <c r="B6" s="21" t="s">
        <v>115</v>
      </c>
      <c r="C6" s="22" t="s">
        <v>122</v>
      </c>
    </row>
    <row r="7" spans="1:3">
      <c r="A7" t="s">
        <v>123</v>
      </c>
      <c r="B7" s="21" t="s">
        <v>115</v>
      </c>
      <c r="C7" s="22" t="s">
        <v>124</v>
      </c>
    </row>
    <row r="9" spans="1:3">
      <c r="A9" t="s">
        <v>125</v>
      </c>
    </row>
  </sheetData>
  <hyperlinks>
    <hyperlink ref="C7" r:id="rId1" xr:uid="{99C2EBD8-F646-4E21-A772-33F620FBF5FC}"/>
    <hyperlink ref="C3" r:id="rId2" xr:uid="{19D59FC3-A6B5-415C-8EE1-DD969E86403E}"/>
    <hyperlink ref="C4" r:id="rId3" xr:uid="{1F076357-5A4F-4457-BDA0-8385237D4128}"/>
    <hyperlink ref="C6" r:id="rId4" xr:uid="{0804810D-5C44-448D-A9C6-6E0446A250D1}"/>
    <hyperlink ref="C5" r:id="rId5" xr:uid="{556F3AB2-7E17-4E80-8C1F-B7565ACC0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2026-08-25T01:52:04Z</dcterms:created>
  <dcterms:modified xsi:type="dcterms:W3CDTF">2026-08-27T03:01:26Z</dcterms:modified>
  <cp:category/>
  <cp:contentStatus/>
</cp:coreProperties>
</file>